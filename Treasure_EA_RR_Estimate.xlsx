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  <sheet name="Break-even &amp; Expectancy" sheetId="2" state="visible" r:id="rId4"/>
    <sheet name="Losing Streaks" sheetId="3" state="visible" r:id="rId5"/>
    <sheet name="Backtest Check" sheetId="4" state="visible" r:id="rId6"/>
    <sheet name="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<sst xmlns="http://schemas.openxmlformats.org/spreadsheetml/2006/main" count="119" uniqueCount="111">
  <si>
    <t xml:space="preserve">Treasure EA - Risk:Reward Estimator (1:5 target)</t>
  </si>
  <si>
    <t xml:space="preserve">Blue cells on yellow are inputs - edit these. Black cells are formulas. All inputs are estimates, not backtest results; I have not seen the EA's code.</t>
  </si>
  <si>
    <t xml:space="preserve">INPUTS</t>
  </si>
  <si>
    <t xml:space="preserve">Value</t>
  </si>
  <si>
    <t xml:space="preserve">Note / source</t>
  </si>
  <si>
    <t xml:space="preserve">Target R:R</t>
  </si>
  <si>
    <t xml:space="preserve">Treasure EA design target 1:5 (from your earlier description)</t>
  </si>
  <si>
    <t xml:space="preserve">Risk per trade (% of balance)</t>
  </si>
  <si>
    <t xml:space="preserve">Example value - set to the EA's real risk setting</t>
  </si>
  <si>
    <t xml:space="preserve">Account balance ($)</t>
  </si>
  <si>
    <t xml:space="preserve">Example value - replace with your balance</t>
  </si>
  <si>
    <t xml:space="preserve">Estimated win rate</t>
  </si>
  <si>
    <t xml:space="preserve">Assumption: ballpark for fixed 1:5 targets (15%-25%), not measured</t>
  </si>
  <si>
    <t xml:space="preserve">Effective average win (R)</t>
  </si>
  <si>
    <t xml:space="preserve">Assumption: below 5.0 because of trailing / partial exits</t>
  </si>
  <si>
    <t xml:space="preserve">Cost per trade (R): spread + commission</t>
  </si>
  <si>
    <t xml:space="preserve">Assumption: 0.15R-0.30R is common on gold with tight M5 stops</t>
  </si>
  <si>
    <t xml:space="preserve">Number of trades</t>
  </si>
  <si>
    <t xml:space="preserve">Used for the total-return line only</t>
  </si>
  <si>
    <t xml:space="preserve">Losing streak length to test</t>
  </si>
  <si>
    <t xml:space="preserve">Assumption: 10 losses in a row</t>
  </si>
  <si>
    <t xml:space="preserve">RESULTS</t>
  </si>
  <si>
    <t xml:space="preserve">How it is calculated</t>
  </si>
  <si>
    <t xml:space="preserve">Break-even win rate at target R:R</t>
  </si>
  <si>
    <t xml:space="preserve">1 / (1 + R:R)</t>
  </si>
  <si>
    <t xml:space="preserve">Break-even win rate at effective R:R</t>
  </si>
  <si>
    <t xml:space="preserve">1 / (1 + effective win in R)</t>
  </si>
  <si>
    <t xml:space="preserve">Break-even win rate including costs</t>
  </si>
  <si>
    <t xml:space="preserve">(1 + cost) / (1 + effective win)</t>
  </si>
  <si>
    <t xml:space="preserve">Expectancy per trade (R) - target R:R, no costs</t>
  </si>
  <si>
    <t xml:space="preserve">win% x R:R - loss% x 1</t>
  </si>
  <si>
    <t xml:space="preserve">Expectancy per trade (R) - effective R:R, no costs</t>
  </si>
  <si>
    <t xml:space="preserve">win% x effective win - loss% x 1</t>
  </si>
  <si>
    <t xml:space="preserve">Expectancy per trade (R) - effective R:R, after costs</t>
  </si>
  <si>
    <t xml:space="preserve">Row 19 minus cost per trade</t>
  </si>
  <si>
    <t xml:space="preserve">Expected result per trade (% of balance)</t>
  </si>
  <si>
    <t xml:space="preserve">Expectancy (R) x risk per trade</t>
  </si>
  <si>
    <t xml:space="preserve">Expected result per trade ($)</t>
  </si>
  <si>
    <t xml:space="preserve">% of balance x balance</t>
  </si>
  <si>
    <t xml:space="preserve">Expected total over N trades ($)</t>
  </si>
  <si>
    <t xml:space="preserve">Simple sum, no compounding</t>
  </si>
  <si>
    <t xml:space="preserve">Chance of the losing streak occurring on any given run</t>
  </si>
  <si>
    <t xml:space="preserve">(1 - win rate) ^ streak length; chance the next N trades all lose</t>
  </si>
  <si>
    <t xml:space="preserve">Drawdown from that streak (% of balance)</t>
  </si>
  <si>
    <t xml:space="preserve">1 - (1 - risk)^streak, compounded</t>
  </si>
  <si>
    <t xml:space="preserve">Verdict</t>
  </si>
  <si>
    <t xml:space="preserve">Based on row 20. Real results also depend on slippage and losing streaks.</t>
  </si>
  <si>
    <t xml:space="preserve">Break-even win rates and expectancy tables</t>
  </si>
  <si>
    <t xml:space="preserve">Green values link to the Calculator sheet. Expectancy is in R (1R = the amount risked per trade).</t>
  </si>
  <si>
    <t xml:space="preserve">1) Break-even win rate by R:R</t>
  </si>
  <si>
    <t xml:space="preserve">R:R</t>
  </si>
  <si>
    <t xml:space="preserve">Break-even win rate</t>
  </si>
  <si>
    <t xml:space="preserve">2) Expectancy per trade (R): win rate vs R:R (before costs)</t>
  </si>
  <si>
    <t xml:space="preserve">Win rate \ R:R</t>
  </si>
  <si>
    <t xml:space="preserve">3) Expectancy at your Calculator R:R and risk per trade (before costs)</t>
  </si>
  <si>
    <t xml:space="preserve">Win rate</t>
  </si>
  <si>
    <t xml:space="preserve">Expectancy (R)</t>
  </si>
  <si>
    <t xml:space="preserve">Result per trade (% of balance)</t>
  </si>
  <si>
    <t xml:space="preserve">Blue win rates and R:R values are example rows you can overwrite.</t>
  </si>
  <si>
    <t xml:space="preserve">Losing-streak risk</t>
  </si>
  <si>
    <t xml:space="preserve">Probability that the next N trades all lose = (1 - win rate)^N. Drawdown uses the risk per trade from the Calculator sheet (compounded).</t>
  </si>
  <si>
    <t xml:space="preserve">1) Chance the next N trades all lose</t>
  </si>
  <si>
    <t xml:space="preserve">Win rate \ streak length</t>
  </si>
  <si>
    <t xml:space="preserve">2) Drawdown from a losing streak at your risk per trade</t>
  </si>
  <si>
    <t xml:space="preserve">Streak length</t>
  </si>
  <si>
    <t xml:space="preserve">Drawdown (% of balance)</t>
  </si>
  <si>
    <t xml:space="preserve">Blue streak lengths and win rates are example rows you can overwrite.</t>
  </si>
  <si>
    <t xml:space="preserve">Backtest Check - paste your Strategy Tester numbers</t>
  </si>
  <si>
    <t xml:space="preserve">Fill the yellow cells from the MT5 Strategy Tester report. The values shown are PLACEHOLDER EXAMPLES, not real results - overwrite them.</t>
  </si>
  <si>
    <t xml:space="preserve">INPUTS (from report)</t>
  </si>
  <si>
    <t xml:space="preserve">Where to find it</t>
  </si>
  <si>
    <t xml:space="preserve">Total trades</t>
  </si>
  <si>
    <t xml:space="preserve">Report: Total Trades</t>
  </si>
  <si>
    <t xml:space="preserve">Winning trades (count)</t>
  </si>
  <si>
    <t xml:space="preserve">Report: Profit Trades</t>
  </si>
  <si>
    <t xml:space="preserve">Average winning trade ($)</t>
  </si>
  <si>
    <t xml:space="preserve">Report: Average profit trade</t>
  </si>
  <si>
    <t xml:space="preserve">Average losing trade ($)</t>
  </si>
  <si>
    <t xml:space="preserve">Report: Average loss trade (enter as a positive number)</t>
  </si>
  <si>
    <t xml:space="preserve">Longest losing streak (trades)</t>
  </si>
  <si>
    <t xml:space="preserve">Report: Maximum consecutive losses (count)</t>
  </si>
  <si>
    <t xml:space="preserve">Minimum profit factor for the verdict</t>
  </si>
  <si>
    <t xml:space="preserve">Assumption: below about 1.2 is too fragile once live spreads and slippage are added</t>
  </si>
  <si>
    <t xml:space="preserve">Wins / total trades</t>
  </si>
  <si>
    <t xml:space="preserve">Effective R:R</t>
  </si>
  <si>
    <t xml:space="preserve">Average win / average loss</t>
  </si>
  <si>
    <t xml:space="preserve">1 / (1 + effective R:R)</t>
  </si>
  <si>
    <t xml:space="preserve">Expectancy per trade ($)</t>
  </si>
  <si>
    <t xml:space="preserve">win% x avg win - loss% x avg loss</t>
  </si>
  <si>
    <t xml:space="preserve">Expectancy per trade (R)</t>
  </si>
  <si>
    <t xml:space="preserve">Expectancy $ / average loss</t>
  </si>
  <si>
    <t xml:space="preserve">Profit factor</t>
  </si>
  <si>
    <t xml:space="preserve">Gross profit / gross loss</t>
  </si>
  <si>
    <t xml:space="preserve">Drawdown from longest losing streak (% of balance)</t>
  </si>
  <si>
    <t xml:space="preserve">Uses risk per trade from the Calculator sheet, compounded</t>
  </si>
  <si>
    <t xml:space="preserve">Based on profit factor vs the threshold in B10.</t>
  </si>
  <si>
    <t xml:space="preserve">Notes and assumptions</t>
  </si>
  <si>
    <t xml:space="preserve">What this workbook is</t>
  </si>
  <si>
    <t xml:space="preserve">Estimates the risk:reward the Treasure EA (1:5 target) needs to be profitable. It does not predict results; a backtest decides. The EA's code was not available, so all performance inputs are assumptions.</t>
  </si>
  <si>
    <t xml:space="preserve">Formulas</t>
  </si>
  <si>
    <t xml:space="preserve">Break-even win rate = 1 / (1 + R:R). Expectancy (R) = win rate x R:R - (1 - win rate) x 1. Costs are subtracted from expectancy in R.</t>
  </si>
  <si>
    <t xml:space="preserve">Why the real result is below 5R</t>
  </si>
  <si>
    <t xml:space="preserve">Few trades reach the full target, so win rate at a fixed 1:5 is often about 15%-25% (ballpark, not measured). Costs are a larger share of a tight M5 stop (0.15R-0.30R on gold is assumed). Trailing or partial exits can lower the average win to about 3R-4R.</t>
  </si>
  <si>
    <t xml:space="preserve">Losing streaks</t>
  </si>
  <si>
    <t xml:space="preserve">At a 20% win rate, 10 losses in a row has about an 11% chance; at 1% risk per trade that is roughly a 10% drawdown. Use the Losing Streaks sheet to test your own numbers.</t>
  </si>
  <si>
    <t xml:space="preserve">Swing-only version</t>
  </si>
  <si>
    <t xml:space="preserve">Wider stops lower the cost per trade in R terms, but there are fewer trades, so the backtest needs a longer period.</t>
  </si>
  <si>
    <t xml:space="preserve">How to find your real numbers</t>
  </si>
  <si>
    <t xml:space="preserve">Run the Strategy Tester on gold for 1-2 years with 'every tick based on real ticks', then enter the results on the Backtest Check sheet.</t>
  </si>
  <si>
    <t xml:space="preserve">Colour key</t>
  </si>
  <si>
    <t xml:space="preserve">Blue text = input; black = formula; green = link to another sheet; yellow fill = cell to edit.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</si>
</sst>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.0%"/>
    <numFmt numFmtId="167" formatCode="\$#,##0;&quot;($&quot;#,##0\);\-"/>
    <numFmt numFmtId="168" formatCode="0"/>
    <numFmt numFmtId="169" formatCode="0.00%"/>
    <numFmt numFmtId="170" formatCode="\$#,##0.00;&quot;($&quot;#,##0.0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color rgb="FFC00000"/>
        <sz val="10"/>
      </font>
    </dxf>
    <dxf>
      <font>
        <name val="Arial"/>
        <charset val="1"/>
        <family val="0"/>
        <color rgb="FF006100"/>
        <sz val="10"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61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22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5</v>
      </c>
      <c r="C5" s="6" t="s">
        <v>6</v>
      </c>
    </row>
    <row r="6" customFormat="false" ht="15" hidden="false" customHeight="false" outlineLevel="0" collapsed="false">
      <c r="A6" s="4" t="s">
        <v>7</v>
      </c>
      <c r="B6" s="7" t="n">
        <v>0.01</v>
      </c>
      <c r="C6" s="6" t="s">
        <v>8</v>
      </c>
    </row>
    <row r="7" customFormat="false" ht="15" hidden="false" customHeight="false" outlineLevel="0" collapsed="false">
      <c r="A7" s="4" t="s">
        <v>9</v>
      </c>
      <c r="B7" s="8" t="n">
        <v>10000</v>
      </c>
      <c r="C7" s="6" t="s">
        <v>10</v>
      </c>
    </row>
    <row r="8" customFormat="false" ht="15" hidden="false" customHeight="false" outlineLevel="0" collapsed="false">
      <c r="A8" s="4" t="s">
        <v>11</v>
      </c>
      <c r="B8" s="7" t="n">
        <v>0.22</v>
      </c>
      <c r="C8" s="6" t="s">
        <v>12</v>
      </c>
    </row>
    <row r="9" customFormat="false" ht="15" hidden="false" customHeight="false" outlineLevel="0" collapsed="false">
      <c r="A9" s="4" t="s">
        <v>13</v>
      </c>
      <c r="B9" s="5" t="n">
        <v>4</v>
      </c>
      <c r="C9" s="6" t="s">
        <v>14</v>
      </c>
    </row>
    <row r="10" customFormat="false" ht="15" hidden="false" customHeight="false" outlineLevel="0" collapsed="false">
      <c r="A10" s="4" t="s">
        <v>15</v>
      </c>
      <c r="B10" s="5" t="n">
        <v>0.15</v>
      </c>
      <c r="C10" s="6" t="s">
        <v>16</v>
      </c>
    </row>
    <row r="11" customFormat="false" ht="15" hidden="false" customHeight="false" outlineLevel="0" collapsed="false">
      <c r="A11" s="4" t="s">
        <v>17</v>
      </c>
      <c r="B11" s="9" t="n">
        <v>100</v>
      </c>
      <c r="C11" s="6" t="s">
        <v>18</v>
      </c>
    </row>
    <row r="12" customFormat="false" ht="15" hidden="false" customHeight="false" outlineLevel="0" collapsed="false">
      <c r="A12" s="4" t="s">
        <v>19</v>
      </c>
      <c r="B12" s="9" t="n">
        <v>10</v>
      </c>
      <c r="C12" s="6" t="s">
        <v>20</v>
      </c>
    </row>
    <row r="14" customFormat="false" ht="15" hidden="false" customHeight="false" outlineLevel="0" collapsed="false">
      <c r="A14" s="3" t="s">
        <v>21</v>
      </c>
      <c r="B14" s="3" t="s">
        <v>3</v>
      </c>
      <c r="C14" s="3" t="s">
        <v>22</v>
      </c>
    </row>
    <row r="15" customFormat="false" ht="15" hidden="false" customHeight="false" outlineLevel="0" collapsed="false">
      <c r="A15" s="4" t="s">
        <v>23</v>
      </c>
      <c r="B15" s="10" t="n">
        <f aca="false">1/(1+B5)</f>
        <v>0.166666666666667</v>
      </c>
      <c r="C15" s="6" t="s">
        <v>24</v>
      </c>
    </row>
    <row r="16" customFormat="false" ht="15" hidden="false" customHeight="false" outlineLevel="0" collapsed="false">
      <c r="A16" s="4" t="s">
        <v>25</v>
      </c>
      <c r="B16" s="10" t="n">
        <f aca="false">1/(1+B9)</f>
        <v>0.2</v>
      </c>
      <c r="C16" s="6" t="s">
        <v>26</v>
      </c>
    </row>
    <row r="17" customFormat="false" ht="15" hidden="false" customHeight="false" outlineLevel="0" collapsed="false">
      <c r="A17" s="4" t="s">
        <v>27</v>
      </c>
      <c r="B17" s="10" t="n">
        <f aca="false">(1+B10)/(1+B9)</f>
        <v>0.23</v>
      </c>
      <c r="C17" s="6" t="s">
        <v>28</v>
      </c>
    </row>
    <row r="18" customFormat="false" ht="15" hidden="false" customHeight="false" outlineLevel="0" collapsed="false">
      <c r="A18" s="4" t="s">
        <v>29</v>
      </c>
      <c r="B18" s="11" t="n">
        <f aca="false">B8*B5-(1-B8)</f>
        <v>0.32</v>
      </c>
      <c r="C18" s="6" t="s">
        <v>30</v>
      </c>
    </row>
    <row r="19" customFormat="false" ht="15" hidden="false" customHeight="false" outlineLevel="0" collapsed="false">
      <c r="A19" s="4" t="s">
        <v>31</v>
      </c>
      <c r="B19" s="11" t="n">
        <f aca="false">B8*B9-(1-B8)</f>
        <v>0.1</v>
      </c>
      <c r="C19" s="6" t="s">
        <v>32</v>
      </c>
    </row>
    <row r="20" customFormat="false" ht="15" hidden="false" customHeight="false" outlineLevel="0" collapsed="false">
      <c r="A20" s="4" t="s">
        <v>33</v>
      </c>
      <c r="B20" s="11" t="n">
        <f aca="false">B19-B10</f>
        <v>-0.05</v>
      </c>
      <c r="C20" s="6" t="s">
        <v>34</v>
      </c>
    </row>
    <row r="21" customFormat="false" ht="15" hidden="false" customHeight="false" outlineLevel="0" collapsed="false">
      <c r="A21" s="4" t="s">
        <v>35</v>
      </c>
      <c r="B21" s="12" t="n">
        <f aca="false">B20*B6</f>
        <v>-0.0005</v>
      </c>
      <c r="C21" s="6" t="s">
        <v>36</v>
      </c>
    </row>
    <row r="22" customFormat="false" ht="15" hidden="false" customHeight="false" outlineLevel="0" collapsed="false">
      <c r="A22" s="4" t="s">
        <v>37</v>
      </c>
      <c r="B22" s="13" t="n">
        <f aca="false">B21*B7</f>
        <v>-5</v>
      </c>
      <c r="C22" s="6" t="s">
        <v>38</v>
      </c>
    </row>
    <row r="23" customFormat="false" ht="15" hidden="false" customHeight="false" outlineLevel="0" collapsed="false">
      <c r="A23" s="4" t="s">
        <v>39</v>
      </c>
      <c r="B23" s="13" t="n">
        <f aca="false">B22*B11</f>
        <v>-500</v>
      </c>
      <c r="C23" s="6" t="s">
        <v>40</v>
      </c>
    </row>
    <row r="24" customFormat="false" ht="15" hidden="false" customHeight="false" outlineLevel="0" collapsed="false">
      <c r="A24" s="4" t="s">
        <v>41</v>
      </c>
      <c r="B24" s="10" t="n">
        <f aca="false">(1-B8)^B12</f>
        <v>0.083357758312362</v>
      </c>
      <c r="C24" s="6" t="s">
        <v>42</v>
      </c>
    </row>
    <row r="25" customFormat="false" ht="15" hidden="false" customHeight="false" outlineLevel="0" collapsed="false">
      <c r="A25" s="4" t="s">
        <v>43</v>
      </c>
      <c r="B25" s="10" t="n">
        <f aca="false">1-(1-B6)^B12</f>
        <v>0.0956179249911956</v>
      </c>
      <c r="C25" s="6" t="s">
        <v>44</v>
      </c>
    </row>
    <row r="26" customFormat="false" ht="15" hidden="false" customHeight="false" outlineLevel="0" collapsed="false">
      <c r="A26" s="14" t="s">
        <v>45</v>
      </c>
      <c r="B26" s="14" t="str">
        <f aca="false">IF(B20&gt;0,"Positive edge","No edge at these inputs")</f>
        <v>No edge at these inputs</v>
      </c>
      <c r="C26" s="6" t="s">
        <v>46</v>
      </c>
    </row>
  </sheetData>
  <conditionalFormatting sqref="B18:B23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6" min="4" style="0" width="20"/>
  </cols>
  <sheetData>
    <row r="1" customFormat="false" ht="17.35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4" customFormat="false" ht="15" hidden="false" customHeight="false" outlineLevel="0" collapsed="false">
      <c r="A4" s="15" t="s">
        <v>49</v>
      </c>
    </row>
    <row r="5" customFormat="false" ht="15" hidden="false" customHeight="false" outlineLevel="0" collapsed="false">
      <c r="A5" s="16" t="s">
        <v>50</v>
      </c>
      <c r="B5" s="16" t="s">
        <v>51</v>
      </c>
    </row>
    <row r="6" customFormat="false" ht="15" hidden="false" customHeight="false" outlineLevel="0" collapsed="false">
      <c r="A6" s="17" t="n">
        <v>2</v>
      </c>
      <c r="B6" s="10" t="n">
        <f aca="false">1/(1+A6)</f>
        <v>0.333333333333333</v>
      </c>
    </row>
    <row r="7" customFormat="false" ht="15" hidden="false" customHeight="false" outlineLevel="0" collapsed="false">
      <c r="A7" s="17" t="n">
        <v>3</v>
      </c>
      <c r="B7" s="10" t="n">
        <f aca="false">1/(1+A7)</f>
        <v>0.25</v>
      </c>
    </row>
    <row r="8" customFormat="false" ht="15" hidden="false" customHeight="false" outlineLevel="0" collapsed="false">
      <c r="A8" s="17" t="n">
        <v>4</v>
      </c>
      <c r="B8" s="10" t="n">
        <f aca="false">1/(1+A8)</f>
        <v>0.2</v>
      </c>
    </row>
    <row r="9" customFormat="false" ht="15" hidden="false" customHeight="false" outlineLevel="0" collapsed="false">
      <c r="A9" s="17" t="n">
        <v>5</v>
      </c>
      <c r="B9" s="10" t="n">
        <f aca="false">1/(1+A9)</f>
        <v>0.166666666666667</v>
      </c>
    </row>
    <row r="10" customFormat="false" ht="15" hidden="false" customHeight="false" outlineLevel="0" collapsed="false">
      <c r="A10" s="17" t="n">
        <v>6</v>
      </c>
      <c r="B10" s="10" t="n">
        <f aca="false">1/(1+A10)</f>
        <v>0.142857142857143</v>
      </c>
    </row>
    <row r="12" customFormat="false" ht="15" hidden="false" customHeight="false" outlineLevel="0" collapsed="false">
      <c r="A12" s="15" t="s">
        <v>52</v>
      </c>
    </row>
    <row r="13" customFormat="false" ht="15" hidden="false" customHeight="false" outlineLevel="0" collapsed="false">
      <c r="A13" s="16" t="s">
        <v>53</v>
      </c>
      <c r="B13" s="18" t="n">
        <v>2</v>
      </c>
      <c r="C13" s="18" t="n">
        <v>3</v>
      </c>
      <c r="D13" s="18" t="n">
        <v>4</v>
      </c>
      <c r="E13" s="18" t="n">
        <v>5</v>
      </c>
      <c r="F13" s="18" t="n">
        <v>6</v>
      </c>
    </row>
    <row r="14" customFormat="false" ht="15" hidden="false" customHeight="false" outlineLevel="0" collapsed="false">
      <c r="A14" s="19" t="n">
        <v>0.1</v>
      </c>
      <c r="B14" s="11" t="n">
        <f aca="false">$A14*B$13-(1-$A14)</f>
        <v>-0.7</v>
      </c>
      <c r="C14" s="11" t="n">
        <f aca="false">$A14*C$13-(1-$A14)</f>
        <v>-0.6</v>
      </c>
      <c r="D14" s="11" t="n">
        <f aca="false">$A14*D$13-(1-$A14)</f>
        <v>-0.5</v>
      </c>
      <c r="E14" s="11" t="n">
        <f aca="false">$A14*E$13-(1-$A14)</f>
        <v>-0.4</v>
      </c>
      <c r="F14" s="11" t="n">
        <f aca="false">$A14*F$13-(1-$A14)</f>
        <v>-0.3</v>
      </c>
    </row>
    <row r="15" customFormat="false" ht="15" hidden="false" customHeight="false" outlineLevel="0" collapsed="false">
      <c r="A15" s="19" t="n">
        <v>0.15</v>
      </c>
      <c r="B15" s="11" t="n">
        <f aca="false">$A15*B$13-(1-$A15)</f>
        <v>-0.55</v>
      </c>
      <c r="C15" s="11" t="n">
        <f aca="false">$A15*C$13-(1-$A15)</f>
        <v>-0.4</v>
      </c>
      <c r="D15" s="11" t="n">
        <f aca="false">$A15*D$13-(1-$A15)</f>
        <v>-0.25</v>
      </c>
      <c r="E15" s="11" t="n">
        <f aca="false">$A15*E$13-(1-$A15)</f>
        <v>-0.1</v>
      </c>
      <c r="F15" s="11" t="n">
        <f aca="false">$A15*F$13-(1-$A15)</f>
        <v>0.0499999999999999</v>
      </c>
    </row>
    <row r="16" customFormat="false" ht="15" hidden="false" customHeight="false" outlineLevel="0" collapsed="false">
      <c r="A16" s="19" t="n">
        <v>0.2</v>
      </c>
      <c r="B16" s="11" t="n">
        <f aca="false">$A16*B$13-(1-$A16)</f>
        <v>-0.4</v>
      </c>
      <c r="C16" s="11" t="n">
        <f aca="false">$A16*C$13-(1-$A16)</f>
        <v>-0.2</v>
      </c>
      <c r="D16" s="11" t="n">
        <f aca="false">$A16*D$13-(1-$A16)</f>
        <v>0</v>
      </c>
      <c r="E16" s="11" t="n">
        <f aca="false">$A16*E$13-(1-$A16)</f>
        <v>0.2</v>
      </c>
      <c r="F16" s="11" t="n">
        <f aca="false">$A16*F$13-(1-$A16)</f>
        <v>0.4</v>
      </c>
    </row>
    <row r="17" customFormat="false" ht="15" hidden="false" customHeight="false" outlineLevel="0" collapsed="false">
      <c r="A17" s="19" t="n">
        <v>0.25</v>
      </c>
      <c r="B17" s="11" t="n">
        <f aca="false">$A17*B$13-(1-$A17)</f>
        <v>-0.25</v>
      </c>
      <c r="C17" s="11" t="n">
        <f aca="false">$A17*C$13-(1-$A17)</f>
        <v>0</v>
      </c>
      <c r="D17" s="11" t="n">
        <f aca="false">$A17*D$13-(1-$A17)</f>
        <v>0.25</v>
      </c>
      <c r="E17" s="11" t="n">
        <f aca="false">$A17*E$13-(1-$A17)</f>
        <v>0.5</v>
      </c>
      <c r="F17" s="11" t="n">
        <f aca="false">$A17*F$13-(1-$A17)</f>
        <v>0.75</v>
      </c>
    </row>
    <row r="18" customFormat="false" ht="15" hidden="false" customHeight="false" outlineLevel="0" collapsed="false">
      <c r="A18" s="19" t="n">
        <v>0.3</v>
      </c>
      <c r="B18" s="11" t="n">
        <f aca="false">$A18*B$13-(1-$A18)</f>
        <v>-0.1</v>
      </c>
      <c r="C18" s="11" t="n">
        <f aca="false">$A18*C$13-(1-$A18)</f>
        <v>0.2</v>
      </c>
      <c r="D18" s="11" t="n">
        <f aca="false">$A18*D$13-(1-$A18)</f>
        <v>0.5</v>
      </c>
      <c r="E18" s="11" t="n">
        <f aca="false">$A18*E$13-(1-$A18)</f>
        <v>0.8</v>
      </c>
      <c r="F18" s="11" t="n">
        <f aca="false">$A18*F$13-(1-$A18)</f>
        <v>1.1</v>
      </c>
    </row>
    <row r="19" customFormat="false" ht="15" hidden="false" customHeight="false" outlineLevel="0" collapsed="false">
      <c r="A19" s="19" t="n">
        <v>0.35</v>
      </c>
      <c r="B19" s="11" t="n">
        <f aca="false">$A19*B$13-(1-$A19)</f>
        <v>0.0499999999999999</v>
      </c>
      <c r="C19" s="11" t="n">
        <f aca="false">$A19*C$13-(1-$A19)</f>
        <v>0.4</v>
      </c>
      <c r="D19" s="11" t="n">
        <f aca="false">$A19*D$13-(1-$A19)</f>
        <v>0.75</v>
      </c>
      <c r="E19" s="11" t="n">
        <f aca="false">$A19*E$13-(1-$A19)</f>
        <v>1.1</v>
      </c>
      <c r="F19" s="11" t="n">
        <f aca="false">$A19*F$13-(1-$A19)</f>
        <v>1.45</v>
      </c>
    </row>
    <row r="22" customFormat="false" ht="15" hidden="false" customHeight="false" outlineLevel="0" collapsed="false">
      <c r="A22" s="15" t="s">
        <v>54</v>
      </c>
    </row>
    <row r="23" customFormat="false" ht="15" hidden="false" customHeight="false" outlineLevel="0" collapsed="false">
      <c r="A23" s="16" t="s">
        <v>55</v>
      </c>
      <c r="B23" s="16" t="s">
        <v>56</v>
      </c>
      <c r="C23" s="16" t="s">
        <v>57</v>
      </c>
    </row>
    <row r="24" customFormat="false" ht="15" hidden="false" customHeight="false" outlineLevel="0" collapsed="false">
      <c r="A24" s="19" t="n">
        <v>0.15</v>
      </c>
      <c r="B24" s="20" t="n">
        <f aca="false">A24*Calculator!$B$5-(1-A24)</f>
        <v>-0.1</v>
      </c>
      <c r="C24" s="21" t="n">
        <f aca="false">B24*Calculator!$B$6</f>
        <v>-0.001</v>
      </c>
    </row>
    <row r="25" customFormat="false" ht="15" hidden="false" customHeight="false" outlineLevel="0" collapsed="false">
      <c r="A25" s="19" t="n">
        <v>0.2</v>
      </c>
      <c r="B25" s="20" t="n">
        <f aca="false">A25*Calculator!$B$5-(1-A25)</f>
        <v>0.2</v>
      </c>
      <c r="C25" s="21" t="n">
        <f aca="false">B25*Calculator!$B$6</f>
        <v>0.002</v>
      </c>
    </row>
    <row r="26" customFormat="false" ht="15" hidden="false" customHeight="false" outlineLevel="0" collapsed="false">
      <c r="A26" s="19" t="n">
        <v>0.25</v>
      </c>
      <c r="B26" s="20" t="n">
        <f aca="false">A26*Calculator!$B$5-(1-A26)</f>
        <v>0.5</v>
      </c>
      <c r="C26" s="21" t="n">
        <f aca="false">B26*Calculator!$B$6</f>
        <v>0.005</v>
      </c>
    </row>
    <row r="27" customFormat="false" ht="15" hidden="false" customHeight="false" outlineLevel="0" collapsed="false">
      <c r="A27" s="19" t="n">
        <v>0.3</v>
      </c>
      <c r="B27" s="20" t="n">
        <f aca="false">A27*Calculator!$B$5-(1-A27)</f>
        <v>0.8</v>
      </c>
      <c r="C27" s="21" t="n">
        <f aca="false">B27*Calculator!$B$6</f>
        <v>0.008</v>
      </c>
    </row>
    <row r="29" customFormat="false" ht="15" hidden="false" customHeight="false" outlineLevel="0" collapsed="false">
      <c r="A29" s="2" t="s">
        <v>58</v>
      </c>
    </row>
  </sheetData>
  <conditionalFormatting sqref="B14:F19">
    <cfRule type="cellIs" priority="2" operator="greaterThan" aboveAverage="0" equalAverage="0" bottom="0" percent="0" rank="0" text="" dxfId="2">
      <formula>0</formula>
    </cfRule>
    <cfRule type="cellIs" priority="3" operator="lessThan" aboveAverage="0" equalAverage="0" bottom="0" percent="0" rank="0" text="" dxfId="3">
      <formula>0</formula>
    </cfRule>
  </conditionalFormatting>
  <conditionalFormatting sqref="B24:C27">
    <cfRule type="cellIs" priority="4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  <row r="4" customFormat="false" ht="15" hidden="false" customHeight="false" outlineLevel="0" collapsed="false">
      <c r="A4" s="15" t="s">
        <v>61</v>
      </c>
    </row>
    <row r="5" customFormat="false" ht="15" hidden="false" customHeight="false" outlineLevel="0" collapsed="false">
      <c r="A5" s="16" t="s">
        <v>62</v>
      </c>
      <c r="B5" s="22" t="n">
        <v>5</v>
      </c>
      <c r="C5" s="22" t="n">
        <v>8</v>
      </c>
      <c r="D5" s="22" t="n">
        <v>10</v>
      </c>
      <c r="E5" s="22" t="n">
        <v>12</v>
      </c>
      <c r="F5" s="22" t="n">
        <v>15</v>
      </c>
    </row>
    <row r="6" customFormat="false" ht="15" hidden="false" customHeight="false" outlineLevel="0" collapsed="false">
      <c r="A6" s="19" t="n">
        <v>0.15</v>
      </c>
      <c r="B6" s="10" t="n">
        <f aca="false">(1-$A6)^B$5</f>
        <v>0.4437053125</v>
      </c>
      <c r="C6" s="10" t="n">
        <f aca="false">(1-$A6)^C$5</f>
        <v>0.272490525039062</v>
      </c>
      <c r="D6" s="10" t="n">
        <f aca="false">(1-$A6)^D$5</f>
        <v>0.196874404340723</v>
      </c>
      <c r="E6" s="10" t="n">
        <f aca="false">(1-$A6)^E$5</f>
        <v>0.142241757136172</v>
      </c>
      <c r="F6" s="10" t="n">
        <f aca="false">(1-$A6)^F$5</f>
        <v>0.0873542191012517</v>
      </c>
    </row>
    <row r="7" customFormat="false" ht="15" hidden="false" customHeight="false" outlineLevel="0" collapsed="false">
      <c r="A7" s="19" t="n">
        <v>0.2</v>
      </c>
      <c r="B7" s="10" t="n">
        <f aca="false">(1-$A7)^B$5</f>
        <v>0.32768</v>
      </c>
      <c r="C7" s="10" t="n">
        <f aca="false">(1-$A7)^C$5</f>
        <v>0.16777216</v>
      </c>
      <c r="D7" s="10" t="n">
        <f aca="false">(1-$A7)^D$5</f>
        <v>0.1073741824</v>
      </c>
      <c r="E7" s="10" t="n">
        <f aca="false">(1-$A7)^E$5</f>
        <v>0.068719476736</v>
      </c>
      <c r="F7" s="10" t="n">
        <f aca="false">(1-$A7)^F$5</f>
        <v>0.035184372088832</v>
      </c>
    </row>
    <row r="8" customFormat="false" ht="15" hidden="false" customHeight="false" outlineLevel="0" collapsed="false">
      <c r="A8" s="19" t="n">
        <v>0.25</v>
      </c>
      <c r="B8" s="10" t="n">
        <f aca="false">(1-$A8)^B$5</f>
        <v>0.2373046875</v>
      </c>
      <c r="C8" s="10" t="n">
        <f aca="false">(1-$A8)^C$5</f>
        <v>0.100112915039063</v>
      </c>
      <c r="D8" s="10" t="n">
        <f aca="false">(1-$A8)^D$5</f>
        <v>0.0563135147094727</v>
      </c>
      <c r="E8" s="10" t="n">
        <f aca="false">(1-$A8)^E$5</f>
        <v>0.0316763520240784</v>
      </c>
      <c r="F8" s="10" t="n">
        <f aca="false">(1-$A8)^F$5</f>
        <v>0.0133634610101581</v>
      </c>
    </row>
    <row r="9" customFormat="false" ht="15" hidden="false" customHeight="false" outlineLevel="0" collapsed="false">
      <c r="A9" s="19" t="n">
        <v>0.3</v>
      </c>
      <c r="B9" s="10" t="n">
        <f aca="false">(1-$A9)^B$5</f>
        <v>0.16807</v>
      </c>
      <c r="C9" s="10" t="n">
        <f aca="false">(1-$A9)^C$5</f>
        <v>0.05764801</v>
      </c>
      <c r="D9" s="10" t="n">
        <f aca="false">(1-$A9)^D$5</f>
        <v>0.0282475249</v>
      </c>
      <c r="E9" s="10" t="n">
        <f aca="false">(1-$A9)^E$5</f>
        <v>0.013841287201</v>
      </c>
      <c r="F9" s="10" t="n">
        <f aca="false">(1-$A9)^F$5</f>
        <v>0.004747561509943</v>
      </c>
    </row>
    <row r="12" customFormat="false" ht="15" hidden="false" customHeight="false" outlineLevel="0" collapsed="false">
      <c r="A12" s="15" t="s">
        <v>63</v>
      </c>
    </row>
    <row r="13" customFormat="false" ht="23.85" hidden="false" customHeight="false" outlineLevel="0" collapsed="false">
      <c r="A13" s="16" t="s">
        <v>64</v>
      </c>
      <c r="B13" s="16" t="s">
        <v>65</v>
      </c>
    </row>
    <row r="14" customFormat="false" ht="15" hidden="false" customHeight="false" outlineLevel="0" collapsed="false">
      <c r="A14" s="23" t="n">
        <v>5</v>
      </c>
      <c r="B14" s="24" t="n">
        <f aca="false">1-(1-Calculator!$B$6)^A14</f>
        <v>0.0490099501000001</v>
      </c>
    </row>
    <row r="15" customFormat="false" ht="15" hidden="false" customHeight="false" outlineLevel="0" collapsed="false">
      <c r="A15" s="23" t="n">
        <v>8</v>
      </c>
      <c r="B15" s="24" t="n">
        <f aca="false">1-(1-Calculator!$B$6)^A15</f>
        <v>0.0772553055720799</v>
      </c>
    </row>
    <row r="16" customFormat="false" ht="15" hidden="false" customHeight="false" outlineLevel="0" collapsed="false">
      <c r="A16" s="23" t="n">
        <v>10</v>
      </c>
      <c r="B16" s="24" t="n">
        <f aca="false">1-(1-Calculator!$B$6)^A16</f>
        <v>0.0956179249911956</v>
      </c>
    </row>
    <row r="17" customFormat="false" ht="15" hidden="false" customHeight="false" outlineLevel="0" collapsed="false">
      <c r="A17" s="23" t="n">
        <v>12</v>
      </c>
      <c r="B17" s="24" t="n">
        <f aca="false">1-(1-Calculator!$B$6)^A17</f>
        <v>0.113615128283871</v>
      </c>
    </row>
    <row r="18" customFormat="false" ht="15" hidden="false" customHeight="false" outlineLevel="0" collapsed="false">
      <c r="A18" s="23" t="n">
        <v>15</v>
      </c>
      <c r="B18" s="24" t="n">
        <f aca="false">1-(1-Calculator!$B$6)^A18</f>
        <v>0.139941645358712</v>
      </c>
    </row>
    <row r="20" customFormat="false" ht="15" hidden="false" customHeight="false" outlineLevel="0" collapsed="false">
      <c r="A20" s="2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2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15" hidden="false" customHeight="false" outlineLevel="0" collapsed="false">
      <c r="A4" s="3" t="s">
        <v>69</v>
      </c>
      <c r="B4" s="3" t="s">
        <v>3</v>
      </c>
      <c r="C4" s="3" t="s">
        <v>70</v>
      </c>
    </row>
    <row r="5" customFormat="false" ht="15" hidden="false" customHeight="false" outlineLevel="0" collapsed="false">
      <c r="A5" s="4" t="s">
        <v>71</v>
      </c>
      <c r="B5" s="9" t="n">
        <v>200</v>
      </c>
      <c r="C5" s="6" t="s">
        <v>72</v>
      </c>
    </row>
    <row r="6" customFormat="false" ht="15" hidden="false" customHeight="false" outlineLevel="0" collapsed="false">
      <c r="A6" s="4" t="s">
        <v>73</v>
      </c>
      <c r="B6" s="9" t="n">
        <v>44</v>
      </c>
      <c r="C6" s="6" t="s">
        <v>74</v>
      </c>
    </row>
    <row r="7" customFormat="false" ht="15" hidden="false" customHeight="false" outlineLevel="0" collapsed="false">
      <c r="A7" s="4" t="s">
        <v>75</v>
      </c>
      <c r="B7" s="25" t="n">
        <v>380</v>
      </c>
      <c r="C7" s="6" t="s">
        <v>76</v>
      </c>
    </row>
    <row r="8" customFormat="false" ht="15" hidden="false" customHeight="false" outlineLevel="0" collapsed="false">
      <c r="A8" s="4" t="s">
        <v>77</v>
      </c>
      <c r="B8" s="25" t="n">
        <v>95</v>
      </c>
      <c r="C8" s="6" t="s">
        <v>78</v>
      </c>
    </row>
    <row r="9" customFormat="false" ht="15" hidden="false" customHeight="false" outlineLevel="0" collapsed="false">
      <c r="A9" s="4" t="s">
        <v>79</v>
      </c>
      <c r="B9" s="9" t="n">
        <v>14</v>
      </c>
      <c r="C9" s="6" t="s">
        <v>80</v>
      </c>
    </row>
    <row r="10" customFormat="false" ht="15" hidden="false" customHeight="false" outlineLevel="0" collapsed="false">
      <c r="A10" s="4" t="s">
        <v>81</v>
      </c>
      <c r="B10" s="5" t="n">
        <v>1.2</v>
      </c>
      <c r="C10" s="6" t="s">
        <v>82</v>
      </c>
    </row>
    <row r="12" customFormat="false" ht="15" hidden="false" customHeight="false" outlineLevel="0" collapsed="false">
      <c r="A12" s="3" t="s">
        <v>21</v>
      </c>
      <c r="B12" s="3" t="s">
        <v>3</v>
      </c>
      <c r="C12" s="3" t="s">
        <v>22</v>
      </c>
    </row>
    <row r="13" customFormat="false" ht="15" hidden="false" customHeight="false" outlineLevel="0" collapsed="false">
      <c r="A13" s="4" t="s">
        <v>55</v>
      </c>
      <c r="B13" s="10" t="n">
        <f aca="false">IF(B5&gt;0,B6/B5,0)</f>
        <v>0.22</v>
      </c>
      <c r="C13" s="6" t="s">
        <v>83</v>
      </c>
    </row>
    <row r="14" customFormat="false" ht="15" hidden="false" customHeight="false" outlineLevel="0" collapsed="false">
      <c r="A14" s="4" t="s">
        <v>84</v>
      </c>
      <c r="B14" s="11" t="n">
        <f aca="false">IF(B8&gt;0,B7/B8,0)</f>
        <v>4</v>
      </c>
      <c r="C14" s="6" t="s">
        <v>85</v>
      </c>
    </row>
    <row r="15" customFormat="false" ht="15" hidden="false" customHeight="false" outlineLevel="0" collapsed="false">
      <c r="A15" s="4" t="s">
        <v>51</v>
      </c>
      <c r="B15" s="10" t="n">
        <f aca="false">1/(1+B14)</f>
        <v>0.2</v>
      </c>
      <c r="C15" s="6" t="s">
        <v>86</v>
      </c>
    </row>
    <row r="16" customFormat="false" ht="15" hidden="false" customHeight="false" outlineLevel="0" collapsed="false">
      <c r="A16" s="4" t="s">
        <v>87</v>
      </c>
      <c r="B16" s="13" t="n">
        <f aca="false">B13*B7-(1-B13)*B8</f>
        <v>9.49999999999999</v>
      </c>
      <c r="C16" s="6" t="s">
        <v>88</v>
      </c>
    </row>
    <row r="17" customFormat="false" ht="15" hidden="false" customHeight="false" outlineLevel="0" collapsed="false">
      <c r="A17" s="4" t="s">
        <v>89</v>
      </c>
      <c r="B17" s="11" t="n">
        <f aca="false">IF(B8&gt;0,B16/B8,0)</f>
        <v>0.0999999999999999</v>
      </c>
      <c r="C17" s="6" t="s">
        <v>90</v>
      </c>
    </row>
    <row r="18" customFormat="false" ht="15" hidden="false" customHeight="false" outlineLevel="0" collapsed="false">
      <c r="A18" s="4" t="s">
        <v>91</v>
      </c>
      <c r="B18" s="11" t="n">
        <f aca="false">IF((B5-B6)*B8&gt;0,(B6*B7)/((B5-B6)*B8),0)</f>
        <v>1.12820512820513</v>
      </c>
      <c r="C18" s="6" t="s">
        <v>92</v>
      </c>
    </row>
    <row r="19" customFormat="false" ht="15" hidden="false" customHeight="false" outlineLevel="0" collapsed="false">
      <c r="A19" s="4" t="s">
        <v>93</v>
      </c>
      <c r="B19" s="24" t="n">
        <f aca="false">1-(1-Calculator!B6)^B9</f>
        <v>0.131254187231022</v>
      </c>
      <c r="C19" s="6" t="s">
        <v>94</v>
      </c>
    </row>
    <row r="20" customFormat="false" ht="15" hidden="false" customHeight="false" outlineLevel="0" collapsed="false">
      <c r="A20" s="14" t="s">
        <v>45</v>
      </c>
      <c r="B20" s="14" t="str">
        <f aca="false">IF(B18&gt;=B10,"Passes minimum bar",IF(B18&gt;1,"Fragile - thin edge","No edge"))</f>
        <v>Fragile - thin edge</v>
      </c>
      <c r="C20" s="6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96</v>
      </c>
    </row>
    <row r="3" customFormat="false" ht="23.85" hidden="false" customHeight="false" outlineLevel="0" collapsed="false">
      <c r="A3" s="26" t="s">
        <v>97</v>
      </c>
      <c r="B3" s="27" t="s">
        <v>98</v>
      </c>
    </row>
    <row r="4" customFormat="false" ht="15" hidden="false" customHeight="false" outlineLevel="0" collapsed="false">
      <c r="A4" s="26" t="s">
        <v>99</v>
      </c>
      <c r="B4" s="27" t="s">
        <v>100</v>
      </c>
    </row>
    <row r="5" customFormat="false" ht="23.85" hidden="false" customHeight="false" outlineLevel="0" collapsed="false">
      <c r="A5" s="26" t="s">
        <v>101</v>
      </c>
      <c r="B5" s="27" t="s">
        <v>102</v>
      </c>
    </row>
    <row r="6" customFormat="false" ht="23.85" hidden="false" customHeight="false" outlineLevel="0" collapsed="false">
      <c r="A6" s="26" t="s">
        <v>103</v>
      </c>
      <c r="B6" s="27" t="s">
        <v>104</v>
      </c>
    </row>
    <row r="7" customFormat="false" ht="15" hidden="false" customHeight="false" outlineLevel="0" collapsed="false">
      <c r="A7" s="26" t="s">
        <v>105</v>
      </c>
      <c r="B7" s="27" t="s">
        <v>106</v>
      </c>
    </row>
    <row r="8" customFormat="false" ht="15" hidden="false" customHeight="false" outlineLevel="0" collapsed="false">
      <c r="A8" s="26" t="s">
        <v>107</v>
      </c>
      <c r="B8" s="27" t="s">
        <v>108</v>
      </c>
    </row>
    <row r="9" customFormat="false" ht="15" hidden="false" customHeight="false" outlineLevel="0" collapsed="false">
      <c r="A9" s="26" t="s">
        <v>109</v>
      </c>
      <c r="B9" s="27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2026-10-11T02:36:20Z</dcterms:created>
  <dc:creator>openpyxl</dc:creator>
  <dc:description/>
  <dc:language>en-US</dc:language>
  <cp:lastModifiedBy/>
  <dcterms:modified xsi:type="dcterms:W3CDTF">2026-10-11T02:36:20Z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